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DBEAFE"/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b val="1"/>
      <color rgb="00155E75"/>
      <sz val="11"/>
    </font>
    <font>
      <name val="Calibri"/>
      <color rgb="0064748B"/>
      <sz val="9"/>
    </font>
    <font>
      <name val="Calibri"/>
      <i val="1"/>
      <color rgb="0064748B"/>
      <sz val="9"/>
    </font>
    <font>
      <b val="1"/>
      <color rgb="00FFFFFF"/>
      <sz val="9"/>
    </font>
    <font>
      <sz val="9"/>
    </font>
    <font>
      <name val="Calibri"/>
      <b val="1"/>
      <color rgb="00155E75"/>
      <sz val="18"/>
    </font>
  </fonts>
  <fills count="8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55E75"/>
      </patternFill>
    </fill>
    <fill>
      <patternFill patternType="solid">
        <fgColor rgb="00FFFFFF"/>
      </patternFill>
    </fill>
    <fill>
      <patternFill patternType="solid">
        <fgColor rgb="00F1F5F9"/>
      </patternFill>
    </fill>
    <fill>
      <patternFill patternType="solid">
        <fgColor rgb="000E7490"/>
      </patternFill>
    </fill>
    <fill>
      <patternFill patternType="solid">
        <fgColor rgb="00ECFEFF"/>
      </patternFill>
    </fill>
  </fills>
  <borders count="3">
    <border>
      <left/>
      <right/>
      <top/>
      <bottom/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5" fillId="4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 wrapText="1"/>
    </xf>
    <xf numFmtId="0" fontId="4" fillId="0" borderId="0" pivotButton="0" quotePrefix="0" xfId="0"/>
    <xf numFmtId="164" fontId="0" fillId="5" borderId="2" applyAlignment="1" pivotButton="0" quotePrefix="0" xfId="0">
      <alignment horizontal="center"/>
    </xf>
    <xf numFmtId="0" fontId="7" fillId="0" borderId="0" pivotButton="0" quotePrefix="0" xfId="0"/>
    <xf numFmtId="0" fontId="8" fillId="6" borderId="2" applyAlignment="1" pivotButton="0" quotePrefix="0" xfId="0">
      <alignment horizontal="center" vertical="center" wrapText="1"/>
    </xf>
    <xf numFmtId="1" fontId="9" fillId="0" borderId="2" applyAlignment="1" pivotButton="0" quotePrefix="0" xfId="0">
      <alignment horizontal="center"/>
    </xf>
    <xf numFmtId="165" fontId="9" fillId="0" borderId="2" applyAlignment="1" pivotButton="0" quotePrefix="0" xfId="0">
      <alignment horizontal="center"/>
    </xf>
    <xf numFmtId="0" fontId="4" fillId="7" borderId="2" applyAlignment="1" pivotButton="0" quotePrefix="0" xfId="0">
      <alignment horizontal="center" vertical="center" wrapText="1"/>
    </xf>
    <xf numFmtId="0" fontId="0" fillId="0" borderId="2" pivotButton="0" quotePrefix="0" xfId="0"/>
    <xf numFmtId="164" fontId="10" fillId="7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7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.5" customWidth="1" min="1" max="1"/>
    <col width="30" customWidth="1" min="2" max="2"/>
    <col width="16" customWidth="1" min="3" max="3"/>
    <col width="13" customWidth="1" min="4" max="4"/>
    <col width="14" customWidth="1" min="5" max="5"/>
    <col width="14" customWidth="1" min="6" max="6"/>
    <col width="14" customWidth="1" min="7" max="7"/>
    <col width="15" customWidth="1" min="8" max="8"/>
  </cols>
  <sheetData>
    <row r="1" ht="30" customHeight="1">
      <c r="B1" s="1" t="inlineStr">
        <is>
          <t>Pole / Post Embedment Depth  —  IBC 2021 §1807.3 (SI units)</t>
        </is>
      </c>
    </row>
    <row r="2" ht="16" customHeight="1">
      <c r="B2" s="2" t="inlineStr">
        <is>
          <t>Lateral-load embedment for round/square posts. Inputs in SI; code equations applied internally.</t>
        </is>
      </c>
    </row>
    <row r="4">
      <c r="B4" s="3" t="inlineStr">
        <is>
          <t>INPUTS</t>
        </is>
      </c>
    </row>
    <row r="5">
      <c r="B5" s="4" t="inlineStr">
        <is>
          <t>Applied lateral force, P</t>
        </is>
      </c>
      <c r="C5" s="5" t="n">
        <v>10</v>
      </c>
      <c r="D5" s="6" t="inlineStr">
        <is>
          <t>kN</t>
        </is>
      </c>
      <c r="E5" s="7" t="inlineStr">
        <is>
          <t>Horizontal design force.</t>
        </is>
      </c>
    </row>
    <row r="6">
      <c r="B6" s="4" t="inlineStr">
        <is>
          <t>Load height above grade, h</t>
        </is>
      </c>
      <c r="C6" s="5" t="n">
        <v>2.5</v>
      </c>
      <c r="D6" s="6" t="inlineStr">
        <is>
          <t>m</t>
        </is>
      </c>
      <c r="E6" s="7" t="inlineStr">
        <is>
          <t>Ground surface to point of application of P.</t>
        </is>
      </c>
    </row>
    <row r="7">
      <c r="B7" s="4" t="inlineStr">
        <is>
          <t>Post width / diameter, b</t>
        </is>
      </c>
      <c r="C7" s="5" t="n">
        <v>0.3</v>
      </c>
      <c r="D7" s="6" t="inlineStr">
        <is>
          <t>m</t>
        </is>
      </c>
      <c r="E7" s="7" t="inlineStr">
        <is>
          <t>Round dia. or diagonal of square post/footing.</t>
        </is>
      </c>
    </row>
    <row r="8">
      <c r="B8" s="4" t="inlineStr">
        <is>
          <t>Allowable lateral bearing, S</t>
        </is>
      </c>
      <c r="C8" s="5" t="n">
        <v>23.6</v>
      </c>
      <c r="D8" s="6" t="inlineStr">
        <is>
          <t>kPa/m</t>
        </is>
      </c>
      <c r="E8" s="7" t="inlineStr">
        <is>
          <t>Per m of depth (= kN/m^3), Table 1806.2.</t>
        </is>
      </c>
    </row>
    <row r="9">
      <c r="B9" s="4" t="inlineStr">
        <is>
          <t>Isolated-pole factor (1 or 2)</t>
        </is>
      </c>
      <c r="C9" s="5" t="n">
        <v>1</v>
      </c>
      <c r="D9" s="6" t="inlineStr">
        <is>
          <t>—</t>
        </is>
      </c>
      <c r="E9" s="7" t="inlineStr">
        <is>
          <t>2 = double bearing per §1806.3.4.</t>
        </is>
      </c>
    </row>
    <row r="10">
      <c r="B10" s="4" t="inlineStr">
        <is>
          <t>Apply 12 ft (3.66 m) depth cap (1=yes,0=no)</t>
        </is>
      </c>
      <c r="C10" s="5" t="n">
        <v>1</v>
      </c>
      <c r="D10" s="6" t="inlineStr">
        <is>
          <t>—</t>
        </is>
      </c>
      <c r="E10" s="7" t="inlineStr">
        <is>
          <t>Freeze bearing at code depth limit.</t>
        </is>
      </c>
    </row>
    <row r="11">
      <c r="B11" s="7" t="inlineStr">
        <is>
          <t>Table 1806.2 (kPa/m): Bedrock 188.5 | Rock 62.8 | Sandy gravel GW,GP 31.4 | Sand SW,SP,SM,SC,GM,GC 23.6 | Clay/silt CL,ML,MH,CH 15.7</t>
        </is>
      </c>
    </row>
    <row r="13">
      <c r="B13" s="3" t="inlineStr">
        <is>
          <t>INTERNAL CONVERSION TO US-CUSTOMARY</t>
        </is>
      </c>
    </row>
    <row r="14">
      <c r="B14" s="8" t="inlineStr">
        <is>
          <t>P  (lb)</t>
        </is>
      </c>
      <c r="C14" s="9">
        <f>C5*224.808943</f>
        <v/>
      </c>
    </row>
    <row r="15">
      <c r="B15" s="8" t="inlineStr">
        <is>
          <t>h  (ft)</t>
        </is>
      </c>
      <c r="C15" s="9">
        <f>C6*3.280839895</f>
        <v/>
      </c>
    </row>
    <row r="16">
      <c r="B16" s="8" t="inlineStr">
        <is>
          <t>b  (ft)</t>
        </is>
      </c>
      <c r="C16" s="9">
        <f>C7*3.280839895</f>
        <v/>
      </c>
    </row>
    <row r="17">
      <c r="B17" s="8" t="inlineStr">
        <is>
          <t>Effective lateral bearing s  (psf/ft)</t>
        </is>
      </c>
      <c r="C17" s="9">
        <f>C8*6.36588*C9</f>
        <v/>
      </c>
    </row>
    <row r="19">
      <c r="B19" s="3" t="inlineStr">
        <is>
          <t>CONSTRAINED  (restrained at grade — IBC Eq. 18-3)</t>
        </is>
      </c>
    </row>
    <row r="20">
      <c r="B20" s="8" t="inlineStr">
        <is>
          <t>d, uncapped (ft)</t>
        </is>
      </c>
      <c r="C20" s="9">
        <f>(4.25*C14*C15/(C17*C16))^(1/3)</f>
        <v/>
      </c>
    </row>
    <row r="21">
      <c r="B21" s="8" t="inlineStr">
        <is>
          <t>d, final (ft)</t>
        </is>
      </c>
      <c r="C21" s="9">
        <f>IF(AND(C10=1,C20&gt;12),SQRT(4.25*C14*C15/(C17*12*C16)),C20)</f>
        <v/>
      </c>
    </row>
    <row r="22">
      <c r="B22" s="3" t="inlineStr">
        <is>
          <t>NON-CONSTRAINED  (free top — IBC Eq. 18-1 &amp; 18-2, solved by iteration)</t>
        </is>
      </c>
    </row>
    <row r="23">
      <c r="B23" s="10" t="inlineStr">
        <is>
          <t>iteration</t>
        </is>
      </c>
      <c r="C23" s="11" t="inlineStr">
        <is>
          <t>Iter n</t>
        </is>
      </c>
      <c r="D23" s="11" t="inlineStr">
        <is>
          <t>d guess (ft)</t>
        </is>
      </c>
      <c r="E23" s="11" t="inlineStr">
        <is>
          <t>depth for S (ft)</t>
        </is>
      </c>
      <c r="F23" s="11" t="inlineStr">
        <is>
          <t>S1 (psf)</t>
        </is>
      </c>
      <c r="G23" s="11" t="inlineStr">
        <is>
          <t>A (ft)</t>
        </is>
      </c>
      <c r="H23" s="11" t="inlineStr">
        <is>
          <t>d new (ft)</t>
        </is>
      </c>
    </row>
    <row r="24">
      <c r="C24" s="12" t="n">
        <v>0</v>
      </c>
      <c r="D24" s="13">
        <f>C15</f>
        <v/>
      </c>
      <c r="E24" s="13">
        <f>IF(C10=1,MIN(D24,12),D24)</f>
        <v/>
      </c>
      <c r="F24" s="13">
        <f>C17*E24/3</f>
        <v/>
      </c>
      <c r="G24" s="13">
        <f>2.34*C14/(F24*C16)</f>
        <v/>
      </c>
      <c r="H24" s="13">
        <f>0.5*G24*(1+SQRT(1+4.36*C15/G24))</f>
        <v/>
      </c>
    </row>
    <row r="25">
      <c r="C25" s="12" t="n">
        <v>1</v>
      </c>
      <c r="D25" s="13">
        <f>H24</f>
        <v/>
      </c>
      <c r="E25" s="13">
        <f>IF(C10=1,MIN(D25,12),D25)</f>
        <v/>
      </c>
      <c r="F25" s="13">
        <f>C17*E25/3</f>
        <v/>
      </c>
      <c r="G25" s="13">
        <f>2.34*C14/(F25*C16)</f>
        <v/>
      </c>
      <c r="H25" s="13">
        <f>0.5*G25*(1+SQRT(1+4.36*C15/G25))</f>
        <v/>
      </c>
    </row>
    <row r="26">
      <c r="C26" s="12" t="n">
        <v>2</v>
      </c>
      <c r="D26" s="13">
        <f>H25</f>
        <v/>
      </c>
      <c r="E26" s="13">
        <f>IF(C10=1,MIN(D26,12),D26)</f>
        <v/>
      </c>
      <c r="F26" s="13">
        <f>C17*E26/3</f>
        <v/>
      </c>
      <c r="G26" s="13">
        <f>2.34*C14/(F26*C16)</f>
        <v/>
      </c>
      <c r="H26" s="13">
        <f>0.5*G26*(1+SQRT(1+4.36*C15/G26))</f>
        <v/>
      </c>
    </row>
    <row r="27">
      <c r="C27" s="12" t="n">
        <v>3</v>
      </c>
      <c r="D27" s="13">
        <f>H26</f>
        <v/>
      </c>
      <c r="E27" s="13">
        <f>IF(C10=1,MIN(D27,12),D27)</f>
        <v/>
      </c>
      <c r="F27" s="13">
        <f>C17*E27/3</f>
        <v/>
      </c>
      <c r="G27" s="13">
        <f>2.34*C14/(F27*C16)</f>
        <v/>
      </c>
      <c r="H27" s="13">
        <f>0.5*G27*(1+SQRT(1+4.36*C15/G27))</f>
        <v/>
      </c>
    </row>
    <row r="28">
      <c r="C28" s="12" t="n">
        <v>4</v>
      </c>
      <c r="D28" s="13">
        <f>H27</f>
        <v/>
      </c>
      <c r="E28" s="13">
        <f>IF(C10=1,MIN(D28,12),D28)</f>
        <v/>
      </c>
      <c r="F28" s="13">
        <f>C17*E28/3</f>
        <v/>
      </c>
      <c r="G28" s="13">
        <f>2.34*C14/(F28*C16)</f>
        <v/>
      </c>
      <c r="H28" s="13">
        <f>0.5*G28*(1+SQRT(1+4.36*C15/G28))</f>
        <v/>
      </c>
    </row>
    <row r="29">
      <c r="C29" s="12" t="n">
        <v>5</v>
      </c>
      <c r="D29" s="13">
        <f>H28</f>
        <v/>
      </c>
      <c r="E29" s="13">
        <f>IF(C10=1,MIN(D29,12),D29)</f>
        <v/>
      </c>
      <c r="F29" s="13">
        <f>C17*E29/3</f>
        <v/>
      </c>
      <c r="G29" s="13">
        <f>2.34*C14/(F29*C16)</f>
        <v/>
      </c>
      <c r="H29" s="13">
        <f>0.5*G29*(1+SQRT(1+4.36*C15/G29))</f>
        <v/>
      </c>
    </row>
    <row r="30">
      <c r="C30" s="12" t="n">
        <v>6</v>
      </c>
      <c r="D30" s="13">
        <f>H29</f>
        <v/>
      </c>
      <c r="E30" s="13">
        <f>IF(C10=1,MIN(D30,12),D30)</f>
        <v/>
      </c>
      <c r="F30" s="13">
        <f>C17*E30/3</f>
        <v/>
      </c>
      <c r="G30" s="13">
        <f>2.34*C14/(F30*C16)</f>
        <v/>
      </c>
      <c r="H30" s="13">
        <f>0.5*G30*(1+SQRT(1+4.36*C15/G30))</f>
        <v/>
      </c>
    </row>
    <row r="31">
      <c r="C31" s="12" t="n">
        <v>7</v>
      </c>
      <c r="D31" s="13">
        <f>H30</f>
        <v/>
      </c>
      <c r="E31" s="13">
        <f>IF(C10=1,MIN(D31,12),D31)</f>
        <v/>
      </c>
      <c r="F31" s="13">
        <f>C17*E31/3</f>
        <v/>
      </c>
      <c r="G31" s="13">
        <f>2.34*C14/(F31*C16)</f>
        <v/>
      </c>
      <c r="H31" s="13">
        <f>0.5*G31*(1+SQRT(1+4.36*C15/G31))</f>
        <v/>
      </c>
    </row>
    <row r="32">
      <c r="C32" s="12" t="n">
        <v>8</v>
      </c>
      <c r="D32" s="13">
        <f>H31</f>
        <v/>
      </c>
      <c r="E32" s="13">
        <f>IF(C10=1,MIN(D32,12),D32)</f>
        <v/>
      </c>
      <c r="F32" s="13">
        <f>C17*E32/3</f>
        <v/>
      </c>
      <c r="G32" s="13">
        <f>2.34*C14/(F32*C16)</f>
        <v/>
      </c>
      <c r="H32" s="13">
        <f>0.5*G32*(1+SQRT(1+4.36*C15/G32))</f>
        <v/>
      </c>
    </row>
    <row r="33">
      <c r="C33" s="12" t="n">
        <v>9</v>
      </c>
      <c r="D33" s="13">
        <f>H32</f>
        <v/>
      </c>
      <c r="E33" s="13">
        <f>IF(C10=1,MIN(D33,12),D33)</f>
        <v/>
      </c>
      <c r="F33" s="13">
        <f>C17*E33/3</f>
        <v/>
      </c>
      <c r="G33" s="13">
        <f>2.34*C14/(F33*C16)</f>
        <v/>
      </c>
      <c r="H33" s="13">
        <f>0.5*G33*(1+SQRT(1+4.36*C15/G33))</f>
        <v/>
      </c>
    </row>
    <row r="34">
      <c r="C34" s="12" t="n">
        <v>10</v>
      </c>
      <c r="D34" s="13">
        <f>H33</f>
        <v/>
      </c>
      <c r="E34" s="13">
        <f>IF(C10=1,MIN(D34,12),D34)</f>
        <v/>
      </c>
      <c r="F34" s="13">
        <f>C17*E34/3</f>
        <v/>
      </c>
      <c r="G34" s="13">
        <f>2.34*C14/(F34*C16)</f>
        <v/>
      </c>
      <c r="H34" s="13">
        <f>0.5*G34*(1+SQRT(1+4.36*C15/G34))</f>
        <v/>
      </c>
    </row>
    <row r="35">
      <c r="C35" s="12" t="n">
        <v>11</v>
      </c>
      <c r="D35" s="13">
        <f>H34</f>
        <v/>
      </c>
      <c r="E35" s="13">
        <f>IF(C10=1,MIN(D35,12),D35)</f>
        <v/>
      </c>
      <c r="F35" s="13">
        <f>C17*E35/3</f>
        <v/>
      </c>
      <c r="G35" s="13">
        <f>2.34*C14/(F35*C16)</f>
        <v/>
      </c>
      <c r="H35" s="13">
        <f>0.5*G35*(1+SQRT(1+4.36*C15/G35))</f>
        <v/>
      </c>
    </row>
    <row r="36">
      <c r="C36" s="12" t="n">
        <v>12</v>
      </c>
      <c r="D36" s="13">
        <f>H35</f>
        <v/>
      </c>
      <c r="E36" s="13">
        <f>IF(C10=1,MIN(D36,12),D36)</f>
        <v/>
      </c>
      <c r="F36" s="13">
        <f>C17*E36/3</f>
        <v/>
      </c>
      <c r="G36" s="13">
        <f>2.34*C14/(F36*C16)</f>
        <v/>
      </c>
      <c r="H36" s="13">
        <f>0.5*G36*(1+SQRT(1+4.36*C15/G36))</f>
        <v/>
      </c>
    </row>
    <row r="37">
      <c r="C37" s="12" t="n">
        <v>13</v>
      </c>
      <c r="D37" s="13">
        <f>H36</f>
        <v/>
      </c>
      <c r="E37" s="13">
        <f>IF(C10=1,MIN(D37,12),D37)</f>
        <v/>
      </c>
      <c r="F37" s="13">
        <f>C17*E37/3</f>
        <v/>
      </c>
      <c r="G37" s="13">
        <f>2.34*C14/(F37*C16)</f>
        <v/>
      </c>
      <c r="H37" s="13">
        <f>0.5*G37*(1+SQRT(1+4.36*C15/G37))</f>
        <v/>
      </c>
    </row>
    <row r="38">
      <c r="C38" s="12" t="n">
        <v>14</v>
      </c>
      <c r="D38" s="13">
        <f>H37</f>
        <v/>
      </c>
      <c r="E38" s="13">
        <f>IF(C10=1,MIN(D38,12),D38)</f>
        <v/>
      </c>
      <c r="F38" s="13">
        <f>C17*E38/3</f>
        <v/>
      </c>
      <c r="G38" s="13">
        <f>2.34*C14/(F38*C16)</f>
        <v/>
      </c>
      <c r="H38" s="13">
        <f>0.5*G38*(1+SQRT(1+4.36*C15/G38))</f>
        <v/>
      </c>
    </row>
    <row r="39">
      <c r="C39" s="12" t="n">
        <v>15</v>
      </c>
      <c r="D39" s="13">
        <f>H38</f>
        <v/>
      </c>
      <c r="E39" s="13">
        <f>IF(C10=1,MIN(D39,12),D39)</f>
        <v/>
      </c>
      <c r="F39" s="13">
        <f>C17*E39/3</f>
        <v/>
      </c>
      <c r="G39" s="13">
        <f>2.34*C14/(F39*C16)</f>
        <v/>
      </c>
      <c r="H39" s="13">
        <f>0.5*G39*(1+SQRT(1+4.36*C15/G39))</f>
        <v/>
      </c>
    </row>
    <row r="40">
      <c r="C40" s="12" t="n">
        <v>16</v>
      </c>
      <c r="D40" s="13">
        <f>H39</f>
        <v/>
      </c>
      <c r="E40" s="13">
        <f>IF(C10=1,MIN(D40,12),D40)</f>
        <v/>
      </c>
      <c r="F40" s="13">
        <f>C17*E40/3</f>
        <v/>
      </c>
      <c r="G40" s="13">
        <f>2.34*C14/(F40*C16)</f>
        <v/>
      </c>
      <c r="H40" s="13">
        <f>0.5*G40*(1+SQRT(1+4.36*C15/G40))</f>
        <v/>
      </c>
    </row>
    <row r="41">
      <c r="C41" s="12" t="n">
        <v>17</v>
      </c>
      <c r="D41" s="13">
        <f>H40</f>
        <v/>
      </c>
      <c r="E41" s="13">
        <f>IF(C10=1,MIN(D41,12),D41)</f>
        <v/>
      </c>
      <c r="F41" s="13">
        <f>C17*E41/3</f>
        <v/>
      </c>
      <c r="G41" s="13">
        <f>2.34*C14/(F41*C16)</f>
        <v/>
      </c>
      <c r="H41" s="13">
        <f>0.5*G41*(1+SQRT(1+4.36*C15/G41))</f>
        <v/>
      </c>
    </row>
    <row r="42">
      <c r="C42" s="12" t="n">
        <v>18</v>
      </c>
      <c r="D42" s="13">
        <f>H41</f>
        <v/>
      </c>
      <c r="E42" s="13">
        <f>IF(C10=1,MIN(D42,12),D42)</f>
        <v/>
      </c>
      <c r="F42" s="13">
        <f>C17*E42/3</f>
        <v/>
      </c>
      <c r="G42" s="13">
        <f>2.34*C14/(F42*C16)</f>
        <v/>
      </c>
      <c r="H42" s="13">
        <f>0.5*G42*(1+SQRT(1+4.36*C15/G42))</f>
        <v/>
      </c>
    </row>
    <row r="43">
      <c r="C43" s="12" t="n">
        <v>19</v>
      </c>
      <c r="D43" s="13">
        <f>H42</f>
        <v/>
      </c>
      <c r="E43" s="13">
        <f>IF(C10=1,MIN(D43,12),D43)</f>
        <v/>
      </c>
      <c r="F43" s="13">
        <f>C17*E43/3</f>
        <v/>
      </c>
      <c r="G43" s="13">
        <f>2.34*C14/(F43*C16)</f>
        <v/>
      </c>
      <c r="H43" s="13">
        <f>0.5*G43*(1+SQRT(1+4.36*C15/G43))</f>
        <v/>
      </c>
    </row>
    <row r="44">
      <c r="C44" s="12" t="n">
        <v>20</v>
      </c>
      <c r="D44" s="13">
        <f>H43</f>
        <v/>
      </c>
      <c r="E44" s="13">
        <f>IF(C10=1,MIN(D44,12),D44)</f>
        <v/>
      </c>
      <c r="F44" s="13">
        <f>C17*E44/3</f>
        <v/>
      </c>
      <c r="G44" s="13">
        <f>2.34*C14/(F44*C16)</f>
        <v/>
      </c>
      <c r="H44" s="13">
        <f>0.5*G44*(1+SQRT(1+4.36*C15/G44))</f>
        <v/>
      </c>
    </row>
    <row r="45">
      <c r="C45" s="12" t="n">
        <v>21</v>
      </c>
      <c r="D45" s="13">
        <f>H44</f>
        <v/>
      </c>
      <c r="E45" s="13">
        <f>IF(C10=1,MIN(D45,12),D45)</f>
        <v/>
      </c>
      <c r="F45" s="13">
        <f>C17*E45/3</f>
        <v/>
      </c>
      <c r="G45" s="13">
        <f>2.34*C14/(F45*C16)</f>
        <v/>
      </c>
      <c r="H45" s="13">
        <f>0.5*G45*(1+SQRT(1+4.36*C15/G45))</f>
        <v/>
      </c>
    </row>
    <row r="46">
      <c r="C46" s="12" t="n">
        <v>22</v>
      </c>
      <c r="D46" s="13">
        <f>H45</f>
        <v/>
      </c>
      <c r="E46" s="13">
        <f>IF(C10=1,MIN(D46,12),D46)</f>
        <v/>
      </c>
      <c r="F46" s="13">
        <f>C17*E46/3</f>
        <v/>
      </c>
      <c r="G46" s="13">
        <f>2.34*C14/(F46*C16)</f>
        <v/>
      </c>
      <c r="H46" s="13">
        <f>0.5*G46*(1+SQRT(1+4.36*C15/G46))</f>
        <v/>
      </c>
    </row>
    <row r="47">
      <c r="C47" s="12" t="n">
        <v>23</v>
      </c>
      <c r="D47" s="13">
        <f>H46</f>
        <v/>
      </c>
      <c r="E47" s="13">
        <f>IF(C10=1,MIN(D47,12),D47)</f>
        <v/>
      </c>
      <c r="F47" s="13">
        <f>C17*E47/3</f>
        <v/>
      </c>
      <c r="G47" s="13">
        <f>2.34*C14/(F47*C16)</f>
        <v/>
      </c>
      <c r="H47" s="13">
        <f>0.5*G47*(1+SQRT(1+4.36*C15/G47))</f>
        <v/>
      </c>
    </row>
    <row r="48">
      <c r="C48" s="12" t="n">
        <v>24</v>
      </c>
      <c r="D48" s="13">
        <f>H47</f>
        <v/>
      </c>
      <c r="E48" s="13">
        <f>IF(C10=1,MIN(D48,12),D48)</f>
        <v/>
      </c>
      <c r="F48" s="13">
        <f>C17*E48/3</f>
        <v/>
      </c>
      <c r="G48" s="13">
        <f>2.34*C14/(F48*C16)</f>
        <v/>
      </c>
      <c r="H48" s="13">
        <f>0.5*G48*(1+SQRT(1+4.36*C15/G48))</f>
        <v/>
      </c>
    </row>
    <row r="49">
      <c r="C49" s="12" t="n">
        <v>25</v>
      </c>
      <c r="D49" s="13">
        <f>H48</f>
        <v/>
      </c>
      <c r="E49" s="13">
        <f>IF(C10=1,MIN(D49,12),D49)</f>
        <v/>
      </c>
      <c r="F49" s="13">
        <f>C17*E49/3</f>
        <v/>
      </c>
      <c r="G49" s="13">
        <f>2.34*C14/(F49*C16)</f>
        <v/>
      </c>
      <c r="H49" s="13">
        <f>0.5*G49*(1+SQRT(1+4.36*C15/G49))</f>
        <v/>
      </c>
    </row>
    <row r="50">
      <c r="C50" s="12" t="n">
        <v>26</v>
      </c>
      <c r="D50" s="13">
        <f>H49</f>
        <v/>
      </c>
      <c r="E50" s="13">
        <f>IF(C10=1,MIN(D50,12),D50)</f>
        <v/>
      </c>
      <c r="F50" s="13">
        <f>C17*E50/3</f>
        <v/>
      </c>
      <c r="G50" s="13">
        <f>2.34*C14/(F50*C16)</f>
        <v/>
      </c>
      <c r="H50" s="13">
        <f>0.5*G50*(1+SQRT(1+4.36*C15/G50))</f>
        <v/>
      </c>
    </row>
    <row r="51">
      <c r="C51" s="12" t="n">
        <v>27</v>
      </c>
      <c r="D51" s="13">
        <f>H50</f>
        <v/>
      </c>
      <c r="E51" s="13">
        <f>IF(C10=1,MIN(D51,12),D51)</f>
        <v/>
      </c>
      <c r="F51" s="13">
        <f>C17*E51/3</f>
        <v/>
      </c>
      <c r="G51" s="13">
        <f>2.34*C14/(F51*C16)</f>
        <v/>
      </c>
      <c r="H51" s="13">
        <f>0.5*G51*(1+SQRT(1+4.36*C15/G51))</f>
        <v/>
      </c>
    </row>
    <row r="52">
      <c r="C52" s="12" t="n">
        <v>28</v>
      </c>
      <c r="D52" s="13">
        <f>H51</f>
        <v/>
      </c>
      <c r="E52" s="13">
        <f>IF(C10=1,MIN(D52,12),D52)</f>
        <v/>
      </c>
      <c r="F52" s="13">
        <f>C17*E52/3</f>
        <v/>
      </c>
      <c r="G52" s="13">
        <f>2.34*C14/(F52*C16)</f>
        <v/>
      </c>
      <c r="H52" s="13">
        <f>0.5*G52*(1+SQRT(1+4.36*C15/G52))</f>
        <v/>
      </c>
    </row>
    <row r="53">
      <c r="C53" s="12" t="n">
        <v>29</v>
      </c>
      <c r="D53" s="13">
        <f>H52</f>
        <v/>
      </c>
      <c r="E53" s="13">
        <f>IF(C10=1,MIN(D53,12),D53)</f>
        <v/>
      </c>
      <c r="F53" s="13">
        <f>C17*E53/3</f>
        <v/>
      </c>
      <c r="G53" s="13">
        <f>2.34*C14/(F53*C16)</f>
        <v/>
      </c>
      <c r="H53" s="13">
        <f>0.5*G53*(1+SQRT(1+4.36*C15/G53))</f>
        <v/>
      </c>
    </row>
    <row r="54">
      <c r="C54" s="12" t="n">
        <v>30</v>
      </c>
      <c r="D54" s="13">
        <f>H53</f>
        <v/>
      </c>
      <c r="E54" s="13">
        <f>IF(C10=1,MIN(D54,12),D54)</f>
        <v/>
      </c>
      <c r="F54" s="13">
        <f>C17*E54/3</f>
        <v/>
      </c>
      <c r="G54" s="13">
        <f>2.34*C14/(F54*C16)</f>
        <v/>
      </c>
      <c r="H54" s="13">
        <f>0.5*G54*(1+SQRT(1+4.36*C15/G54))</f>
        <v/>
      </c>
    </row>
    <row r="55">
      <c r="C55" s="12" t="n">
        <v>31</v>
      </c>
      <c r="D55" s="13">
        <f>H54</f>
        <v/>
      </c>
      <c r="E55" s="13">
        <f>IF(C10=1,MIN(D55,12),D55)</f>
        <v/>
      </c>
      <c r="F55" s="13">
        <f>C17*E55/3</f>
        <v/>
      </c>
      <c r="G55" s="13">
        <f>2.34*C14/(F55*C16)</f>
        <v/>
      </c>
      <c r="H55" s="13">
        <f>0.5*G55*(1+SQRT(1+4.36*C15/G55))</f>
        <v/>
      </c>
    </row>
    <row r="56">
      <c r="C56" s="12" t="n">
        <v>32</v>
      </c>
      <c r="D56" s="13">
        <f>H55</f>
        <v/>
      </c>
      <c r="E56" s="13">
        <f>IF(C10=1,MIN(D56,12),D56)</f>
        <v/>
      </c>
      <c r="F56" s="13">
        <f>C17*E56/3</f>
        <v/>
      </c>
      <c r="G56" s="13">
        <f>2.34*C14/(F56*C16)</f>
        <v/>
      </c>
      <c r="H56" s="13">
        <f>0.5*G56*(1+SQRT(1+4.36*C15/G56))</f>
        <v/>
      </c>
    </row>
    <row r="57">
      <c r="C57" s="12" t="n">
        <v>33</v>
      </c>
      <c r="D57" s="13">
        <f>H56</f>
        <v/>
      </c>
      <c r="E57" s="13">
        <f>IF(C10=1,MIN(D57,12),D57)</f>
        <v/>
      </c>
      <c r="F57" s="13">
        <f>C17*E57/3</f>
        <v/>
      </c>
      <c r="G57" s="13">
        <f>2.34*C14/(F57*C16)</f>
        <v/>
      </c>
      <c r="H57" s="13">
        <f>0.5*G57*(1+SQRT(1+4.36*C15/G57))</f>
        <v/>
      </c>
    </row>
    <row r="58">
      <c r="C58" s="12" t="n">
        <v>34</v>
      </c>
      <c r="D58" s="13">
        <f>H57</f>
        <v/>
      </c>
      <c r="E58" s="13">
        <f>IF(C10=1,MIN(D58,12),D58)</f>
        <v/>
      </c>
      <c r="F58" s="13">
        <f>C17*E58/3</f>
        <v/>
      </c>
      <c r="G58" s="13">
        <f>2.34*C14/(F58*C16)</f>
        <v/>
      </c>
      <c r="H58" s="13">
        <f>0.5*G58*(1+SQRT(1+4.36*C15/G58))</f>
        <v/>
      </c>
    </row>
    <row r="59">
      <c r="C59" s="12" t="n">
        <v>35</v>
      </c>
      <c r="D59" s="13">
        <f>H58</f>
        <v/>
      </c>
      <c r="E59" s="13">
        <f>IF(C10=1,MIN(D59,12),D59)</f>
        <v/>
      </c>
      <c r="F59" s="13">
        <f>C17*E59/3</f>
        <v/>
      </c>
      <c r="G59" s="13">
        <f>2.34*C14/(F59*C16)</f>
        <v/>
      </c>
      <c r="H59" s="13">
        <f>0.5*G59*(1+SQRT(1+4.36*C15/G59))</f>
        <v/>
      </c>
    </row>
    <row r="60">
      <c r="C60" s="12" t="n">
        <v>36</v>
      </c>
      <c r="D60" s="13">
        <f>H59</f>
        <v/>
      </c>
      <c r="E60" s="13">
        <f>IF(C10=1,MIN(D60,12),D60)</f>
        <v/>
      </c>
      <c r="F60" s="13">
        <f>C17*E60/3</f>
        <v/>
      </c>
      <c r="G60" s="13">
        <f>2.34*C14/(F60*C16)</f>
        <v/>
      </c>
      <c r="H60" s="13">
        <f>0.5*G60*(1+SQRT(1+4.36*C15/G60))</f>
        <v/>
      </c>
    </row>
    <row r="61">
      <c r="C61" s="12" t="n">
        <v>37</v>
      </c>
      <c r="D61" s="13">
        <f>H60</f>
        <v/>
      </c>
      <c r="E61" s="13">
        <f>IF(C10=1,MIN(D61,12),D61)</f>
        <v/>
      </c>
      <c r="F61" s="13">
        <f>C17*E61/3</f>
        <v/>
      </c>
      <c r="G61" s="13">
        <f>2.34*C14/(F61*C16)</f>
        <v/>
      </c>
      <c r="H61" s="13">
        <f>0.5*G61*(1+SQRT(1+4.36*C15/G61))</f>
        <v/>
      </c>
    </row>
    <row r="62">
      <c r="C62" s="12" t="n">
        <v>38</v>
      </c>
      <c r="D62" s="13">
        <f>H61</f>
        <v/>
      </c>
      <c r="E62" s="13">
        <f>IF(C10=1,MIN(D62,12),D62)</f>
        <v/>
      </c>
      <c r="F62" s="13">
        <f>C17*E62/3</f>
        <v/>
      </c>
      <c r="G62" s="13">
        <f>2.34*C14/(F62*C16)</f>
        <v/>
      </c>
      <c r="H62" s="13">
        <f>0.5*G62*(1+SQRT(1+4.36*C15/G62))</f>
        <v/>
      </c>
    </row>
    <row r="63">
      <c r="C63" s="12" t="n">
        <v>39</v>
      </c>
      <c r="D63" s="13">
        <f>H62</f>
        <v/>
      </c>
      <c r="E63" s="13">
        <f>IF(C10=1,MIN(D63,12),D63)</f>
        <v/>
      </c>
      <c r="F63" s="13">
        <f>C17*E63/3</f>
        <v/>
      </c>
      <c r="G63" s="13">
        <f>2.34*C14/(F63*C16)</f>
        <v/>
      </c>
      <c r="H63" s="13">
        <f>0.5*G63*(1+SQRT(1+4.36*C15/G63))</f>
        <v/>
      </c>
    </row>
    <row r="65">
      <c r="B65" s="3" t="inlineStr">
        <is>
          <t>RESULTS — Required embedment depth, d</t>
        </is>
      </c>
    </row>
    <row r="66" ht="40" customHeight="1">
      <c r="B66" s="14" t="inlineStr">
        <is>
          <t>Non-constrained, d</t>
        </is>
      </c>
      <c r="C66" s="15" t="n"/>
      <c r="D66" s="16">
        <f>H63*0.3048</f>
        <v/>
      </c>
      <c r="E66" s="17" t="inlineStr">
        <is>
          <t>m</t>
        </is>
      </c>
      <c r="F66" s="14" t="inlineStr">
        <is>
          <t>Constr., d</t>
        </is>
      </c>
      <c r="G66" s="16">
        <f>C21*0.3048</f>
        <v/>
      </c>
      <c r="H66" s="17" t="inlineStr">
        <is>
          <t>m</t>
        </is>
      </c>
    </row>
    <row r="68">
      <c r="B68" s="3" t="inlineStr">
        <is>
          <t>METHOD &amp; FORMULAS</t>
        </is>
      </c>
    </row>
    <row r="69" ht="26" customHeight="1">
      <c r="B69" s="7" t="inlineStr">
        <is>
          <t>Non-constrained:  A = 2.34·P/(S1·b) ;  d = 0.5·A·(1 + SQRT(1 + 4.36·h/A)).  S1 = lateral bearing at d/3 (iterated).</t>
        </is>
      </c>
    </row>
    <row r="70" ht="26" customHeight="1">
      <c r="B70" s="7" t="inlineStr">
        <is>
          <t>Constrained:  d = SQRT(4.25·P·h/(S3·b)).  S3 = lateral bearing at full depth d  (closed form: d = (4.25·P·h/(s·b))^(1/3)).</t>
        </is>
      </c>
    </row>
    <row r="71" ht="26" customHeight="1">
      <c r="B71" s="7" t="inlineStr">
        <is>
          <t>Conversions: 1 m = 3.280839895 ft ; 1 kN = 224.808943 lb ; 1 kPa/m (kN/m^3) = 6.36588 psf/ft ; d(m) = d(ft)·0.3048.</t>
        </is>
      </c>
    </row>
    <row r="72" ht="26" customHeight="1">
      <c r="B72" s="7" t="inlineStr">
        <is>
          <t>Deflection basis is 12 mm (0.5 in) at grade. Depth limited to 3.66 m (12 ft) for computing lateral pressure (§1807.3).</t>
        </is>
      </c>
    </row>
    <row r="73" ht="26" customHeight="1">
      <c r="B73" s="7" t="inlineStr">
        <is>
          <t>Preliminary design only — verify with governing code edition and project geotechnical data.</t>
        </is>
      </c>
    </row>
  </sheetData>
  <mergeCells count="24">
    <mergeCell ref="B65:H65"/>
    <mergeCell ref="B68:H68"/>
    <mergeCell ref="B66:C66"/>
    <mergeCell ref="E7:H7"/>
    <mergeCell ref="E66"/>
    <mergeCell ref="B4:H4"/>
    <mergeCell ref="B72:H72"/>
    <mergeCell ref="E5:H5"/>
    <mergeCell ref="B22:H22"/>
    <mergeCell ref="E8:H8"/>
    <mergeCell ref="B71:H71"/>
    <mergeCell ref="B70:H70"/>
    <mergeCell ref="B2:H2"/>
    <mergeCell ref="B11:H11"/>
    <mergeCell ref="E10:H10"/>
    <mergeCell ref="E9:H9"/>
    <mergeCell ref="B1:H1"/>
    <mergeCell ref="B13:H13"/>
    <mergeCell ref="F66"/>
    <mergeCell ref="B73:H73"/>
    <mergeCell ref="E6:H6"/>
    <mergeCell ref="B69:H69"/>
    <mergeCell ref="B19:H19"/>
    <mergeCell ref="H66"/>
  </mergeCells>
  <dataValidations count="2">
    <dataValidation sqref="C9" showDropDown="0" showInputMessage="0" showErrorMessage="0" allowBlank="0" type="list">
      <formula1>"1,2"</formula1>
    </dataValidation>
    <dataValidation sqref="C10" showDropDown="0" showInputMessage="0" showErrorMessage="0" allowBlank="0" type="list">
      <formula1>"0,1"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2026-06-24T15:01:02Z</dcterms:created>
  <dcterms:modified xsi:type="dcterms:W3CDTF">2026-06-24T15:01:02Z</dcterms:modified>
</cp:coreProperties>
</file>